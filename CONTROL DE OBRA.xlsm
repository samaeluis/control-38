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ELO\Desktop\"/>
    </mc:Choice>
  </mc:AlternateContent>
  <bookViews>
    <workbookView xWindow="120" yWindow="75" windowWidth="16515" windowHeight="7995" activeTab="3"/>
  </bookViews>
  <sheets>
    <sheet name="DATOS" sheetId="1" r:id="rId1"/>
    <sheet name="PRESUPUESTO" sheetId="2" r:id="rId2"/>
    <sheet name="ANEXO ML" sheetId="3" r:id="rId3"/>
    <sheet name="ANEXO M2" sheetId="5" r:id="rId4"/>
  </sheets>
  <definedNames>
    <definedName name="_xlnm._FilterDatabase" localSheetId="3" hidden="1">'ANEXO M2'!$B$9:$J$18</definedName>
    <definedName name="_xlnm.Print_Area" localSheetId="3">'ANEXO M2'!$B$2:$J$39</definedName>
    <definedName name="_xlnm.Print_Area" localSheetId="2">'ANEXO ML'!$B$2:$G$45</definedName>
  </definedNames>
  <calcPr calcId="162913"/>
  <fileRecoveryPr repairLoad="1"/>
</workbook>
</file>

<file path=xl/calcChain.xml><?xml version="1.0" encoding="utf-8"?>
<calcChain xmlns="http://schemas.openxmlformats.org/spreadsheetml/2006/main">
  <c r="I12" i="5" l="1"/>
  <c r="I11" i="5"/>
  <c r="I16" i="5"/>
  <c r="I15" i="5"/>
  <c r="I14" i="5"/>
  <c r="I13" i="5"/>
  <c r="I10" i="5"/>
  <c r="E20" i="3" l="1"/>
  <c r="E19" i="3"/>
  <c r="E18" i="3"/>
  <c r="E17" i="3"/>
  <c r="I8" i="5" l="1"/>
  <c r="G2" i="2"/>
  <c r="H2" i="2"/>
  <c r="F2" i="2" l="1"/>
  <c r="D11" i="1" l="1"/>
</calcChain>
</file>

<file path=xl/sharedStrings.xml><?xml version="1.0" encoding="utf-8"?>
<sst xmlns="http://schemas.openxmlformats.org/spreadsheetml/2006/main" count="91" uniqueCount="67">
  <si>
    <t>ING. EDGAR MEDINA</t>
  </si>
  <si>
    <t>ING. JOSE LUIS CHARIGUAMAN</t>
  </si>
  <si>
    <t>GOBIERNO AUTONOMO DESTRALIZADO DEL CANTON RIOBAMBA</t>
  </si>
  <si>
    <t>AREGLOS DE OFICINAS MUNICIPALES</t>
  </si>
  <si>
    <t>ING. LUIS TIXI</t>
  </si>
  <si>
    <t>12/11/2018</t>
  </si>
  <si>
    <t>23/11/2018</t>
  </si>
  <si>
    <t>DESCRIPCION</t>
  </si>
  <si>
    <t>UNIDAD</t>
  </si>
  <si>
    <t>CANTIDAD</t>
  </si>
  <si>
    <t>PRECIO UNITARIO</t>
  </si>
  <si>
    <t>TOTAL</t>
  </si>
  <si>
    <t>m3</t>
  </si>
  <si>
    <t>ml</t>
  </si>
  <si>
    <t>u</t>
  </si>
  <si>
    <t>VALOR PRESUPUESTADO</t>
  </si>
  <si>
    <t>LONGITUD</t>
  </si>
  <si>
    <t># DE PIEZAS</t>
  </si>
  <si>
    <t>GRAFICA</t>
  </si>
  <si>
    <t>RUBRO:</t>
  </si>
  <si>
    <t>ITEM</t>
  </si>
  <si>
    <t>Desalojo de material  de excavacion distancia 1km</t>
  </si>
  <si>
    <t>CANTIDAD CONTRATADA</t>
  </si>
  <si>
    <t>CANTIDAD PERIODO ANTERIOR</t>
  </si>
  <si>
    <t>EXCEDENTE PERIODO ANTERIOR</t>
  </si>
  <si>
    <t>cantidad planillada</t>
  </si>
  <si>
    <t>excedente de planilla</t>
  </si>
  <si>
    <t>Replanteo y nivelación</t>
  </si>
  <si>
    <t>Km</t>
  </si>
  <si>
    <t>Excavación a máquina sin clasificar</t>
  </si>
  <si>
    <t>Rasanteo de zanja</t>
  </si>
  <si>
    <t>Excavación manual en material sin clasificar</t>
  </si>
  <si>
    <t>Colchon de arena</t>
  </si>
  <si>
    <t>Relleno compactado con material de sitio</t>
  </si>
  <si>
    <t>Caja de revision de hormigon simple fc=180kg/cm2 0.60*0.60*1.1m incluye replantillo y encofrado</t>
  </si>
  <si>
    <t>Suministro e instalacion tuberia plastica tipo perfil estructural  Tipo B, Rigidez minima 4kPa  Ø=160mm</t>
  </si>
  <si>
    <t>Suministro de Tuberia PVC E/C 1,25MPA  D=50mm</t>
  </si>
  <si>
    <t>Acometida domiciliaria de agua potable</t>
  </si>
  <si>
    <t>Valvula de compuerta RW de 50mm + caja de revision con tapa de hierro fundido Ø50cm</t>
  </si>
  <si>
    <t>Tapon de 50mm</t>
  </si>
  <si>
    <t>Tee PVC 50mm</t>
  </si>
  <si>
    <t>calle s</t>
  </si>
  <si>
    <t>calle r</t>
  </si>
  <si>
    <t>calle viva</t>
  </si>
  <si>
    <t>calle siempre viva</t>
  </si>
  <si>
    <t>DIAMETRO/RADIO</t>
  </si>
  <si>
    <t>GRAFICO</t>
  </si>
  <si>
    <t>FIGURA</t>
  </si>
  <si>
    <t>LONGITUD2</t>
  </si>
  <si>
    <t>SUPERFICIE</t>
  </si>
  <si>
    <t>ALTURA/   ANCHO [M]</t>
  </si>
  <si>
    <t>LONGITUD/BASE</t>
  </si>
  <si>
    <t>CALLE DECIMA</t>
  </si>
  <si>
    <t>CALLE 24 DE MAYO</t>
  </si>
  <si>
    <t>CALLE LAS BOLAS</t>
  </si>
  <si>
    <t>CALLE SIN RETORNO</t>
  </si>
  <si>
    <t>CALLE LAS LAJAS</t>
  </si>
  <si>
    <t>ALTURA/ANCHO[m]</t>
  </si>
  <si>
    <t>Area =</t>
  </si>
  <si>
    <t>PARED2</t>
  </si>
  <si>
    <t>NO ELIMINAR LAS DOS PRIMERAS FILAS 10,11</t>
  </si>
  <si>
    <t>PARED 1</t>
  </si>
  <si>
    <t>PARED 3</t>
  </si>
  <si>
    <t>DESCUENTO ENCIMA DE PUERTA</t>
  </si>
  <si>
    <t>PARED JUNTO A GRADAS</t>
  </si>
  <si>
    <t>DESCUENTO DE PUERTA DE BANO</t>
  </si>
  <si>
    <t>DESCUENTO DE VENTANA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</si>
</sst>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7B7B7B"/>
      <name val="Calibri"/>
      <family val="2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rgb="FFA5A5A5"/>
      </top>
      <bottom/>
      <diagonal/>
    </border>
    <border>
      <left style="thin">
        <color auto="1"/>
      </left>
      <right style="thin">
        <color auto="1"/>
      </right>
      <top style="thin">
        <color rgb="FFA5A5A5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theme="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NumberFormat="1"/>
    <xf numFmtId="8" fontId="0" fillId="0" borderId="0" xfId="0" applyNumberFormat="1"/>
    <xf numFmtId="10" fontId="0" fillId="0" borderId="0" xfId="0" applyNumberFormat="1"/>
    <xf numFmtId="0" fontId="0" fillId="0" borderId="0" xfId="0" applyFill="1"/>
    <xf numFmtId="0" fontId="0" fillId="0" borderId="0" xfId="0" applyFill="1" applyAlignment="1">
      <alignment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2" fontId="3" fillId="0" borderId="1" xfId="0" applyNumberFormat="1" applyFont="1" applyFill="1" applyBorder="1" applyAlignment="1">
      <alignment horizontal="right" vertical="center"/>
    </xf>
    <xf numFmtId="49" fontId="3" fillId="0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right" vertical="center"/>
    </xf>
    <xf numFmtId="2" fontId="3" fillId="0" borderId="5" xfId="0" applyNumberFormat="1" applyFont="1" applyFill="1" applyBorder="1" applyAlignment="1">
      <alignment horizontal="right" vertical="center"/>
    </xf>
    <xf numFmtId="44" fontId="6" fillId="0" borderId="1" xfId="1" applyFont="1" applyFill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wrapText="1"/>
    </xf>
    <xf numFmtId="49" fontId="3" fillId="0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7" fillId="0" borderId="6" xfId="0" applyFont="1" applyBorder="1"/>
    <xf numFmtId="0" fontId="7" fillId="0" borderId="7" xfId="0" applyFont="1" applyBorder="1"/>
    <xf numFmtId="0" fontId="7" fillId="0" borderId="8" xfId="0" applyFont="1" applyBorder="1"/>
    <xf numFmtId="0" fontId="0" fillId="0" borderId="0" xfId="0" applyAlignment="1">
      <alignment horizontal="right"/>
    </xf>
    <xf numFmtId="0" fontId="7" fillId="0" borderId="0" xfId="0" applyFont="1" applyBorder="1"/>
    <xf numFmtId="0" fontId="7" fillId="0" borderId="9" xfId="0" applyFont="1" applyBorder="1"/>
    <xf numFmtId="0" fontId="0" fillId="0" borderId="3" xfId="0" applyBorder="1" applyAlignment="1">
      <alignment horizontal="right"/>
    </xf>
    <xf numFmtId="0" fontId="0" fillId="0" borderId="2" xfId="0" applyBorder="1"/>
    <xf numFmtId="2" fontId="8" fillId="0" borderId="4" xfId="0" applyNumberFormat="1" applyFont="1" applyFill="1" applyBorder="1" applyAlignment="1">
      <alignment horizontal="right" vertical="center"/>
    </xf>
    <xf numFmtId="0" fontId="9" fillId="0" borderId="0" xfId="0" applyFont="1" applyFill="1" applyAlignment="1">
      <alignment horizontal="center" vertical="center" wrapText="1"/>
    </xf>
    <xf numFmtId="2" fontId="3" fillId="0" borderId="10" xfId="0" applyNumberFormat="1" applyFont="1" applyFill="1" applyBorder="1" applyAlignment="1">
      <alignment horizontal="right" vertical="center"/>
    </xf>
    <xf numFmtId="49" fontId="3" fillId="0" borderId="10" xfId="0" applyNumberFormat="1" applyFont="1" applyFill="1" applyBorder="1" applyAlignment="1">
      <alignment horizontal="left" vertical="center" wrapText="1"/>
    </xf>
    <xf numFmtId="49" fontId="3" fillId="0" borderId="1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wrapText="1"/>
    </xf>
    <xf numFmtId="0" fontId="5" fillId="0" borderId="11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3" fontId="4" fillId="2" borderId="12" xfId="0" applyNumberFormat="1" applyFont="1" applyFill="1" applyBorder="1" applyAlignment="1">
      <alignment horizontal="left"/>
    </xf>
    <xf numFmtId="0" fontId="10" fillId="0" borderId="3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2" fontId="10" fillId="0" borderId="1" xfId="0" applyNumberFormat="1" applyFont="1" applyFill="1" applyBorder="1" applyAlignment="1">
      <alignment horizontal="right"/>
    </xf>
    <xf numFmtId="0" fontId="10" fillId="0" borderId="13" xfId="0" applyFont="1" applyFill="1" applyBorder="1" applyAlignment="1">
      <alignment horizontal="center"/>
    </xf>
    <xf numFmtId="2" fontId="10" fillId="0" borderId="10" xfId="0" applyNumberFormat="1" applyFont="1" applyFill="1" applyBorder="1" applyAlignment="1">
      <alignment horizontal="right"/>
    </xf>
    <xf numFmtId="0" fontId="10" fillId="0" borderId="14" xfId="0" applyFont="1" applyFill="1" applyBorder="1" applyAlignment="1">
      <alignment horizontal="center"/>
    </xf>
    <xf numFmtId="0" fontId="11" fillId="0" borderId="13" xfId="0" applyFont="1" applyFill="1" applyBorder="1" applyAlignment="1">
      <alignment horizontal="center"/>
    </xf>
    <xf numFmtId="2" fontId="11" fillId="0" borderId="10" xfId="0" applyNumberFormat="1" applyFont="1" applyFill="1" applyBorder="1" applyAlignment="1">
      <alignment horizontal="right"/>
    </xf>
    <xf numFmtId="0" fontId="11" fillId="0" borderId="14" xfId="0" applyFont="1" applyFill="1" applyBorder="1" applyAlignment="1">
      <alignment horizontal="center"/>
    </xf>
    <xf numFmtId="0" fontId="0" fillId="0" borderId="11" xfId="0" applyBorder="1"/>
    <xf numFmtId="0" fontId="0" fillId="0" borderId="3" xfId="0" applyBorder="1"/>
    <xf numFmtId="0" fontId="0" fillId="0" borderId="9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20" xfId="0" applyBorder="1"/>
    <xf numFmtId="0" fontId="0" fillId="0" borderId="11" xfId="0" applyBorder="1" applyAlignment="1">
      <alignment horizontal="right"/>
    </xf>
    <xf numFmtId="0" fontId="4" fillId="2" borderId="15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4" fillId="2" borderId="15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43" fontId="4" fillId="2" borderId="21" xfId="0" applyNumberFormat="1" applyFont="1" applyFill="1" applyBorder="1" applyAlignment="1">
      <alignment horizontal="center" vertical="top" wrapText="1"/>
    </xf>
    <xf numFmtId="0" fontId="10" fillId="0" borderId="1" xfId="0" applyFont="1" applyFill="1" applyBorder="1" applyAlignment="1">
      <alignment horizontal="center" wrapText="1"/>
    </xf>
    <xf numFmtId="2" fontId="10" fillId="0" borderId="1" xfId="0" applyNumberFormat="1" applyFont="1" applyFill="1" applyBorder="1" applyAlignment="1">
      <alignment horizontal="center"/>
    </xf>
    <xf numFmtId="43" fontId="10" fillId="0" borderId="1" xfId="0" applyNumberFormat="1" applyFont="1" applyFill="1" applyBorder="1" applyAlignment="1">
      <alignment horizontal="right"/>
    </xf>
    <xf numFmtId="43" fontId="10" fillId="0" borderId="1" xfId="0" applyNumberFormat="1" applyFont="1" applyFill="1" applyBorder="1" applyAlignment="1">
      <alignment horizontal="center"/>
    </xf>
    <xf numFmtId="49" fontId="10" fillId="0" borderId="1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wrapText="1"/>
    </xf>
    <xf numFmtId="2" fontId="10" fillId="0" borderId="0" xfId="0" applyNumberFormat="1" applyFont="1" applyFill="1" applyBorder="1" applyAlignment="1">
      <alignment horizontal="center"/>
    </xf>
    <xf numFmtId="43" fontId="10" fillId="0" borderId="0" xfId="0" applyNumberFormat="1" applyFont="1" applyFill="1" applyBorder="1" applyAlignment="1">
      <alignment horizontal="right"/>
    </xf>
    <xf numFmtId="43" fontId="10" fillId="0" borderId="0" xfId="0" applyNumberFormat="1" applyFont="1" applyFill="1" applyBorder="1" applyAlignment="1">
      <alignment horizontal="center"/>
    </xf>
    <xf numFmtId="49" fontId="10" fillId="0" borderId="0" xfId="0" applyNumberFormat="1" applyFont="1" applyFill="1" applyBorder="1" applyAlignment="1">
      <alignment horizontal="center"/>
    </xf>
    <xf numFmtId="4" fontId="10" fillId="0" borderId="1" xfId="0" applyNumberFormat="1" applyFont="1" applyFill="1" applyBorder="1" applyAlignment="1">
      <alignment horizontal="center"/>
    </xf>
    <xf numFmtId="43" fontId="0" fillId="0" borderId="3" xfId="0" applyNumberFormat="1" applyBorder="1"/>
  </cellXfs>
  <cellStyles count="2">
    <cellStyle name="Moneda" xfId="1" builtinId="4"/>
    <cellStyle name="Normal" xfId="0" builtinId="0"/>
  </cellStyles>
  <dxfs count="22">
    <dxf>
      <font>
        <color rgb="FFFF0000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rgb="FFA5A5A5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7B7B7B"/>
        <name val="Calibri"/>
        <scheme val="none"/>
      </font>
      <fill>
        <patternFill patternType="solid">
          <fgColor theme="6"/>
          <bgColor theme="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10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  <dxf>
      <fill>
        <patternFill>
          <bgColor theme="3" tint="0.39994506668294322"/>
        </patternFill>
      </fill>
    </dxf>
  </dxfs>
  <tableStyles count="1" defaultTableStyle="TableStyleMedium2" defaultPivotStyle="PivotStyleLight16">
    <tableStyle name="Estilo de tabla 1" pivot="0" count="2">
      <tableStyleElement type="headerRow" dxfId="21"/>
      <tableStyleElement type="first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342900</xdr:rowOff>
        </xdr:from>
        <xdr:to>
          <xdr:col>1</xdr:col>
          <xdr:colOff>952500</xdr:colOff>
          <xdr:row>1</xdr:row>
          <xdr:rowOff>323850</xdr:rowOff>
        </xdr:to>
        <xdr:sp macro="" textlink="">
          <xdr:nvSpPr>
            <xdr:cNvPr id="1027" name="cmdGuard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0</xdr:row>
          <xdr:rowOff>342900</xdr:rowOff>
        </xdr:from>
        <xdr:to>
          <xdr:col>1</xdr:col>
          <xdr:colOff>2352675</xdr:colOff>
          <xdr:row>1</xdr:row>
          <xdr:rowOff>323850</xdr:rowOff>
        </xdr:to>
        <xdr:sp macro="" textlink="">
          <xdr:nvSpPr>
            <xdr:cNvPr id="1028" name="CmdAnex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209550</xdr:rowOff>
        </xdr:from>
        <xdr:to>
          <xdr:col>1</xdr:col>
          <xdr:colOff>1571625</xdr:colOff>
          <xdr:row>0</xdr:row>
          <xdr:rowOff>552450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0</xdr:row>
          <xdr:rowOff>209550</xdr:rowOff>
        </xdr:from>
        <xdr:to>
          <xdr:col>1</xdr:col>
          <xdr:colOff>3114675</xdr:colOff>
          <xdr:row>0</xdr:row>
          <xdr:rowOff>552450</xdr:rowOff>
        </xdr:to>
        <xdr:sp macro="" textlink="">
          <xdr:nvSpPr>
            <xdr:cNvPr id="3082" name="CmdAsistente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3190875</xdr:colOff>
          <xdr:row>0</xdr:row>
          <xdr:rowOff>209550</xdr:rowOff>
        </xdr:from>
        <xdr:to>
          <xdr:col>3</xdr:col>
          <xdr:colOff>304800</xdr:colOff>
          <xdr:row>0</xdr:row>
          <xdr:rowOff>542925</xdr:rowOff>
        </xdr:to>
        <xdr:sp macro="" textlink="">
          <xdr:nvSpPr>
            <xdr:cNvPr id="3084" name="CmdDetalle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0</xdr:row>
          <xdr:rowOff>57150</xdr:rowOff>
        </xdr:from>
        <xdr:to>
          <xdr:col>7</xdr:col>
          <xdr:colOff>9525</xdr:colOff>
          <xdr:row>0</xdr:row>
          <xdr:rowOff>752475</xdr:rowOff>
        </xdr:to>
        <xdr:sp macro="" textlink="">
          <xdr:nvSpPr>
            <xdr:cNvPr id="3086" name="Group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OPCIONES DE ANEXOS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190500</xdr:rowOff>
        </xdr:from>
        <xdr:to>
          <xdr:col>6</xdr:col>
          <xdr:colOff>714375</xdr:colOff>
          <xdr:row>0</xdr:row>
          <xdr:rowOff>533400</xdr:rowOff>
        </xdr:to>
        <xdr:sp macro="" textlink="">
          <xdr:nvSpPr>
            <xdr:cNvPr id="3088" name="CommandButton2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209550</xdr:rowOff>
        </xdr:from>
        <xdr:to>
          <xdr:col>1</xdr:col>
          <xdr:colOff>1571625</xdr:colOff>
          <xdr:row>0</xdr:row>
          <xdr:rowOff>552450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0</xdr:row>
          <xdr:rowOff>209550</xdr:rowOff>
        </xdr:from>
        <xdr:to>
          <xdr:col>3</xdr:col>
          <xdr:colOff>238125</xdr:colOff>
          <xdr:row>0</xdr:row>
          <xdr:rowOff>552450</xdr:rowOff>
        </xdr:to>
        <xdr:sp macro="" textlink="">
          <xdr:nvSpPr>
            <xdr:cNvPr id="4098" name="CmdAsistente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209550</xdr:rowOff>
        </xdr:from>
        <xdr:to>
          <xdr:col>5</xdr:col>
          <xdr:colOff>628650</xdr:colOff>
          <xdr:row>0</xdr:row>
          <xdr:rowOff>542925</xdr:rowOff>
        </xdr:to>
        <xdr:sp macro="" textlink="">
          <xdr:nvSpPr>
            <xdr:cNvPr id="4099" name="CmdDetalle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0</xdr:row>
          <xdr:rowOff>57150</xdr:rowOff>
        </xdr:from>
        <xdr:to>
          <xdr:col>12</xdr:col>
          <xdr:colOff>371475</xdr:colOff>
          <xdr:row>0</xdr:row>
          <xdr:rowOff>752475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OPCIONES DE ANEXOS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190500</xdr:rowOff>
        </xdr:from>
        <xdr:to>
          <xdr:col>8</xdr:col>
          <xdr:colOff>57150</xdr:colOff>
          <xdr:row>0</xdr:row>
          <xdr:rowOff>533400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presupuesto" displayName="Tpresupuesto" ref="A3:H18" totalsRowShown="0" headerRowDxfId="19" dataDxfId="18">
  <autoFilter ref="A3:H18"/>
  <tableColumns count="8">
    <tableColumn id="11" name="ITEM" dataDxfId="17"/>
    <tableColumn id="2" name="DESCRIPCION" dataDxfId="16"/>
    <tableColumn id="3" name="UNIDAD" dataDxfId="15"/>
    <tableColumn id="4" name="CANTIDAD" dataDxfId="14"/>
    <tableColumn id="5" name="PRECIO UNITARIO" dataDxfId="13"/>
    <tableColumn id="6" name="TOTAL" dataDxfId="12"/>
    <tableColumn id="1" name="cantidad planillada" dataDxfId="11"/>
    <tableColumn id="7" name="excedente de planilla" dataDxfId="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a6" displayName="Tabla6" ref="B9:F20" totalsRowShown="0" headerRowDxfId="9" dataDxfId="8" tableBorderDxfId="7">
  <autoFilter ref="B9:F20"/>
  <tableColumns count="5">
    <tableColumn id="1" name="DESCRIPCION" dataDxfId="6"/>
    <tableColumn id="2" name="LONGITUD" dataDxfId="5"/>
    <tableColumn id="3" name="# DE PIEZAS" dataDxfId="4"/>
    <tableColumn id="4" name="LONGITUD2" dataDxfId="3"/>
    <tableColumn id="5" name="GRAFICA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12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DATOS"/>
  <dimension ref="B1:D12"/>
  <sheetViews>
    <sheetView workbookViewId="0">
      <selection activeCell="A17" sqref="A17"/>
    </sheetView>
  </sheetViews>
  <sheetFormatPr baseColWidth="10" defaultRowHeight="15" x14ac:dyDescent="0.25"/>
  <cols>
    <col min="1" max="1" width="41.140625" customWidth="1"/>
    <col min="2" max="2" width="38.42578125" customWidth="1"/>
  </cols>
  <sheetData>
    <row r="1" spans="2:4" x14ac:dyDescent="0.25">
      <c r="B1" t="s">
        <v>2</v>
      </c>
    </row>
    <row r="2" spans="2:4" x14ac:dyDescent="0.25">
      <c r="B2" t="s">
        <v>3</v>
      </c>
    </row>
    <row r="3" spans="2:4" x14ac:dyDescent="0.25">
      <c r="B3" t="s">
        <v>4</v>
      </c>
    </row>
    <row r="4" spans="2:4" x14ac:dyDescent="0.25">
      <c r="B4" t="s">
        <v>0</v>
      </c>
    </row>
    <row r="5" spans="2:4" x14ac:dyDescent="0.25">
      <c r="B5" t="s">
        <v>1</v>
      </c>
    </row>
    <row r="6" spans="2:4" x14ac:dyDescent="0.25">
      <c r="B6" t="s">
        <v>5</v>
      </c>
    </row>
    <row r="7" spans="2:4" x14ac:dyDescent="0.25">
      <c r="B7" t="s">
        <v>6</v>
      </c>
    </row>
    <row r="8" spans="2:4" x14ac:dyDescent="0.25">
      <c r="B8" t="s">
        <v>6</v>
      </c>
    </row>
    <row r="9" spans="2:4" x14ac:dyDescent="0.25">
      <c r="B9" s="2">
        <v>34255.24</v>
      </c>
    </row>
    <row r="10" spans="2:4" x14ac:dyDescent="0.25">
      <c r="B10" s="3">
        <v>0.5</v>
      </c>
    </row>
    <row r="11" spans="2:4" x14ac:dyDescent="0.25">
      <c r="B11" s="2">
        <v>17127.62</v>
      </c>
      <c r="D11">
        <f>C11*3</f>
        <v>0</v>
      </c>
    </row>
    <row r="12" spans="2:4" x14ac:dyDescent="0.25">
      <c r="B12" s="1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18"/>
  <sheetViews>
    <sheetView showGridLines="0" zoomScaleNormal="100" workbookViewId="0">
      <pane ySplit="3" topLeftCell="A4" activePane="bottomLeft" state="frozen"/>
      <selection pane="bottomLeft" activeCell="B5" sqref="B5"/>
    </sheetView>
  </sheetViews>
  <sheetFormatPr baseColWidth="10" defaultRowHeight="15" x14ac:dyDescent="0.25"/>
  <cols>
    <col min="1" max="1" width="8.28515625" style="5" customWidth="1"/>
    <col min="2" max="2" width="40" style="4" customWidth="1"/>
    <col min="3" max="3" width="13.28515625" style="4" customWidth="1"/>
    <col min="4" max="4" width="20.28515625" style="4" customWidth="1"/>
    <col min="5" max="5" width="15.5703125" style="4" customWidth="1"/>
    <col min="6" max="6" width="20" style="4" customWidth="1"/>
    <col min="7" max="7" width="16.42578125" style="4" customWidth="1"/>
    <col min="8" max="8" width="16.7109375" style="4" customWidth="1"/>
    <col min="9" max="16384" width="11.42578125" style="4"/>
  </cols>
  <sheetData>
    <row r="1" spans="1:8" ht="27.75" customHeight="1" x14ac:dyDescent="0.25">
      <c r="F1" s="30" t="s">
        <v>15</v>
      </c>
      <c r="G1" s="30" t="s">
        <v>15</v>
      </c>
      <c r="H1" s="30" t="s">
        <v>15</v>
      </c>
    </row>
    <row r="2" spans="1:8" ht="26.25" customHeight="1" x14ac:dyDescent="0.35">
      <c r="E2" s="31"/>
      <c r="F2" s="12">
        <f>SUM(Tpresupuesto[TOTAL])</f>
        <v>89847.560000000012</v>
      </c>
      <c r="G2" s="12">
        <f>SUM(Tpresupuesto[cantidad planillada])</f>
        <v>0</v>
      </c>
      <c r="H2" s="12">
        <f>SUM(Tpresupuesto[excedente de planilla])</f>
        <v>0</v>
      </c>
    </row>
    <row r="3" spans="1:8" ht="38.25" customHeight="1" x14ac:dyDescent="0.25">
      <c r="A3" s="6" t="s">
        <v>20</v>
      </c>
      <c r="B3" s="7" t="s">
        <v>7</v>
      </c>
      <c r="C3" s="6" t="s">
        <v>8</v>
      </c>
      <c r="D3" s="6" t="s">
        <v>9</v>
      </c>
      <c r="E3" s="7" t="s">
        <v>10</v>
      </c>
      <c r="F3" s="6" t="s">
        <v>11</v>
      </c>
      <c r="G3" s="26" t="s">
        <v>25</v>
      </c>
      <c r="H3" s="26" t="s">
        <v>26</v>
      </c>
    </row>
    <row r="4" spans="1:8" x14ac:dyDescent="0.25">
      <c r="A4" s="11"/>
      <c r="B4" s="14"/>
      <c r="C4" s="13"/>
      <c r="D4" s="10"/>
      <c r="E4" s="10"/>
      <c r="F4" s="10"/>
      <c r="G4" s="25"/>
      <c r="H4" s="25"/>
    </row>
    <row r="5" spans="1:8" x14ac:dyDescent="0.25">
      <c r="A5" s="27"/>
      <c r="B5" s="28" t="s">
        <v>27</v>
      </c>
      <c r="C5" s="29" t="s">
        <v>28</v>
      </c>
      <c r="D5" s="27">
        <v>1.5</v>
      </c>
      <c r="E5" s="27">
        <v>600.74</v>
      </c>
      <c r="F5" s="27">
        <v>901.11</v>
      </c>
      <c r="G5" s="27"/>
      <c r="H5" s="27"/>
    </row>
    <row r="6" spans="1:8" x14ac:dyDescent="0.25">
      <c r="A6" s="8"/>
      <c r="B6" s="15" t="s">
        <v>29</v>
      </c>
      <c r="C6" s="9" t="s">
        <v>12</v>
      </c>
      <c r="D6" s="8">
        <v>1850</v>
      </c>
      <c r="E6" s="8">
        <v>3.6</v>
      </c>
      <c r="F6" s="8">
        <v>6660</v>
      </c>
      <c r="G6" s="8"/>
      <c r="H6" s="8"/>
    </row>
    <row r="7" spans="1:8" x14ac:dyDescent="0.25">
      <c r="A7" s="8"/>
      <c r="B7" s="15" t="s">
        <v>30</v>
      </c>
      <c r="C7" s="9" t="s">
        <v>13</v>
      </c>
      <c r="D7" s="8">
        <v>2543.8011000000001</v>
      </c>
      <c r="E7" s="8">
        <v>0.85</v>
      </c>
      <c r="F7" s="8">
        <v>2162.23</v>
      </c>
      <c r="G7" s="8"/>
      <c r="H7" s="8"/>
    </row>
    <row r="8" spans="1:8" x14ac:dyDescent="0.25">
      <c r="A8" s="8"/>
      <c r="B8" s="15" t="s">
        <v>31</v>
      </c>
      <c r="C8" s="9" t="s">
        <v>12</v>
      </c>
      <c r="D8" s="8">
        <v>100</v>
      </c>
      <c r="E8" s="8">
        <v>14.19</v>
      </c>
      <c r="F8" s="8">
        <v>1419</v>
      </c>
      <c r="G8" s="8"/>
      <c r="H8" s="8"/>
    </row>
    <row r="9" spans="1:8" x14ac:dyDescent="0.25">
      <c r="A9" s="8"/>
      <c r="B9" s="15" t="s">
        <v>32</v>
      </c>
      <c r="C9" s="9" t="s">
        <v>12</v>
      </c>
      <c r="D9" s="8">
        <v>579.7285647958156</v>
      </c>
      <c r="E9" s="8">
        <v>15.08</v>
      </c>
      <c r="F9" s="8">
        <v>8742.31</v>
      </c>
      <c r="G9" s="8"/>
      <c r="H9" s="8"/>
    </row>
    <row r="10" spans="1:8" x14ac:dyDescent="0.25">
      <c r="A10" s="8"/>
      <c r="B10" s="15" t="s">
        <v>33</v>
      </c>
      <c r="C10" s="9" t="s">
        <v>12</v>
      </c>
      <c r="D10" s="8">
        <v>1450</v>
      </c>
      <c r="E10" s="8">
        <v>8.26</v>
      </c>
      <c r="F10" s="8">
        <v>11977</v>
      </c>
      <c r="G10" s="8"/>
      <c r="H10" s="8"/>
    </row>
    <row r="11" spans="1:8" ht="25.5" x14ac:dyDescent="0.25">
      <c r="A11" s="8"/>
      <c r="B11" s="15" t="s">
        <v>21</v>
      </c>
      <c r="C11" s="9" t="s">
        <v>12</v>
      </c>
      <c r="D11" s="8">
        <v>579.7285647958156</v>
      </c>
      <c r="E11" s="8">
        <v>0.4</v>
      </c>
      <c r="F11" s="8">
        <v>231.89</v>
      </c>
      <c r="G11" s="8"/>
      <c r="H11" s="8"/>
    </row>
    <row r="12" spans="1:8" ht="38.25" x14ac:dyDescent="0.25">
      <c r="A12" s="8"/>
      <c r="B12" s="15" t="s">
        <v>34</v>
      </c>
      <c r="C12" s="9" t="s">
        <v>14</v>
      </c>
      <c r="D12" s="8">
        <v>120</v>
      </c>
      <c r="E12" s="8">
        <v>155.91999999999999</v>
      </c>
      <c r="F12" s="8">
        <v>18710.400000000001</v>
      </c>
      <c r="G12" s="8"/>
      <c r="H12" s="8"/>
    </row>
    <row r="13" spans="1:8" ht="38.25" x14ac:dyDescent="0.25">
      <c r="A13" s="8"/>
      <c r="B13" s="15" t="s">
        <v>35</v>
      </c>
      <c r="C13" s="9" t="s">
        <v>13</v>
      </c>
      <c r="D13" s="8">
        <v>1500</v>
      </c>
      <c r="E13" s="8">
        <v>13.57</v>
      </c>
      <c r="F13" s="8">
        <v>20355</v>
      </c>
      <c r="G13" s="8"/>
      <c r="H13" s="8"/>
    </row>
    <row r="14" spans="1:8" ht="25.5" x14ac:dyDescent="0.25">
      <c r="A14" s="8"/>
      <c r="B14" s="15" t="s">
        <v>36</v>
      </c>
      <c r="C14" s="9" t="s">
        <v>13</v>
      </c>
      <c r="D14" s="8">
        <v>1200</v>
      </c>
      <c r="E14" s="8">
        <v>7.65</v>
      </c>
      <c r="F14" s="8">
        <v>9180</v>
      </c>
      <c r="G14" s="8"/>
      <c r="H14" s="8"/>
    </row>
    <row r="15" spans="1:8" x14ac:dyDescent="0.25">
      <c r="A15" s="8"/>
      <c r="B15" s="15" t="s">
        <v>37</v>
      </c>
      <c r="C15" s="9" t="s">
        <v>14</v>
      </c>
      <c r="D15" s="8">
        <v>120</v>
      </c>
      <c r="E15" s="8">
        <v>66.84</v>
      </c>
      <c r="F15" s="8">
        <v>8020.8</v>
      </c>
      <c r="G15" s="8"/>
      <c r="H15" s="8"/>
    </row>
    <row r="16" spans="1:8" ht="25.5" x14ac:dyDescent="0.25">
      <c r="A16" s="8"/>
      <c r="B16" s="15" t="s">
        <v>38</v>
      </c>
      <c r="C16" s="9" t="s">
        <v>14</v>
      </c>
      <c r="D16" s="8">
        <v>3</v>
      </c>
      <c r="E16" s="8">
        <v>445.13</v>
      </c>
      <c r="F16" s="8">
        <v>1335.39</v>
      </c>
      <c r="G16" s="8"/>
      <c r="H16" s="8"/>
    </row>
    <row r="17" spans="1:8" x14ac:dyDescent="0.25">
      <c r="A17" s="8"/>
      <c r="B17" s="15" t="s">
        <v>39</v>
      </c>
      <c r="C17" s="9" t="s">
        <v>14</v>
      </c>
      <c r="D17" s="8">
        <v>11</v>
      </c>
      <c r="E17" s="8">
        <v>4.53</v>
      </c>
      <c r="F17" s="8">
        <v>49.83</v>
      </c>
      <c r="G17" s="8"/>
      <c r="H17" s="8"/>
    </row>
    <row r="18" spans="1:8" x14ac:dyDescent="0.25">
      <c r="A18" s="8"/>
      <c r="B18" s="15" t="s">
        <v>40</v>
      </c>
      <c r="C18" s="9" t="s">
        <v>14</v>
      </c>
      <c r="D18" s="8">
        <v>10</v>
      </c>
      <c r="E18" s="8">
        <v>10.26</v>
      </c>
      <c r="F18" s="8">
        <v>102.6</v>
      </c>
      <c r="G18" s="8"/>
      <c r="H18" s="8"/>
    </row>
  </sheetData>
  <conditionalFormatting sqref="G4:G18">
    <cfRule type="cellIs" dxfId="1" priority="4" operator="greaterThan">
      <formula>0</formula>
    </cfRule>
  </conditionalFormatting>
  <conditionalFormatting sqref="H4:H18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Guardar">
          <controlPr defaultSize="0" autoLine="0" r:id="rId5">
            <anchor moveWithCells="1">
              <from>
                <xdr:col>0</xdr:col>
                <xdr:colOff>47625</xdr:colOff>
                <xdr:row>0</xdr:row>
                <xdr:rowOff>342900</xdr:rowOff>
              </from>
              <to>
                <xdr:col>1</xdr:col>
                <xdr:colOff>952500</xdr:colOff>
                <xdr:row>1</xdr:row>
                <xdr:rowOff>323850</xdr:rowOff>
              </to>
            </anchor>
          </controlPr>
        </control>
      </mc:Choice>
      <mc:Fallback>
        <control shapeId="1027" r:id="rId4" name="cmdGuardar"/>
      </mc:Fallback>
    </mc:AlternateContent>
    <mc:AlternateContent xmlns:mc="http://schemas.openxmlformats.org/markup-compatibility/2006">
      <mc:Choice Requires="x14">
        <control shapeId="1028" r:id="rId6" name="CmdAnexo">
          <controlPr defaultSize="0" autoLine="0" r:id="rId7">
            <anchor moveWithCells="1">
              <from>
                <xdr:col>1</xdr:col>
                <xdr:colOff>1009650</xdr:colOff>
                <xdr:row>0</xdr:row>
                <xdr:rowOff>342900</xdr:rowOff>
              </from>
              <to>
                <xdr:col>1</xdr:col>
                <xdr:colOff>2352675</xdr:colOff>
                <xdr:row>1</xdr:row>
                <xdr:rowOff>323850</xdr:rowOff>
              </to>
            </anchor>
          </controlPr>
        </control>
      </mc:Choice>
      <mc:Fallback>
        <control shapeId="1028" r:id="rId6" name="CmdAnexo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G21"/>
  <sheetViews>
    <sheetView showGridLines="0" view="pageBreakPreview" zoomScaleNormal="100" zoomScaleSheetLayoutView="100" workbookViewId="0">
      <pane ySplit="9" topLeftCell="A13" activePane="bottomLeft" state="frozen"/>
      <selection pane="bottomLeft" activeCell="E20" sqref="E20"/>
    </sheetView>
  </sheetViews>
  <sheetFormatPr baseColWidth="10" defaultRowHeight="15" x14ac:dyDescent="0.25"/>
  <cols>
    <col min="1" max="1" width="4.42578125" customWidth="1"/>
    <col min="2" max="2" width="51.140625" customWidth="1"/>
    <col min="3" max="3" width="13.28515625" customWidth="1"/>
    <col min="4" max="4" width="15.140625" customWidth="1"/>
    <col min="5" max="5" width="14.28515625" customWidth="1"/>
    <col min="6" max="6" width="14.85546875" customWidth="1"/>
  </cols>
  <sheetData>
    <row r="1" spans="2:7" ht="63" customHeight="1" x14ac:dyDescent="0.25">
      <c r="B1" s="4"/>
    </row>
    <row r="2" spans="2:7" ht="19.5" thickBot="1" x14ac:dyDescent="0.35">
      <c r="B2" s="21" t="s">
        <v>19</v>
      </c>
      <c r="C2" s="21"/>
      <c r="D2" s="21"/>
      <c r="E2" s="21"/>
      <c r="F2" s="21"/>
      <c r="G2" s="21"/>
    </row>
    <row r="3" spans="2:7" ht="19.5" thickBot="1" x14ac:dyDescent="0.35">
      <c r="B3" s="17"/>
      <c r="C3" s="22"/>
      <c r="D3" s="22"/>
      <c r="E3" s="18"/>
      <c r="F3" s="18"/>
      <c r="G3" s="19"/>
    </row>
    <row r="4" spans="2:7" x14ac:dyDescent="0.25">
      <c r="B4" s="20"/>
      <c r="C4" s="16"/>
      <c r="D4" s="23" t="s">
        <v>22</v>
      </c>
      <c r="E4" s="16"/>
    </row>
    <row r="5" spans="2:7" x14ac:dyDescent="0.25">
      <c r="B5" s="20"/>
      <c r="C5" s="16"/>
      <c r="D5" s="23" t="s">
        <v>23</v>
      </c>
      <c r="E5" s="16"/>
    </row>
    <row r="6" spans="2:7" x14ac:dyDescent="0.25">
      <c r="B6" s="20"/>
      <c r="C6" s="16"/>
      <c r="D6" s="23" t="s">
        <v>24</v>
      </c>
      <c r="E6" s="16"/>
    </row>
    <row r="7" spans="2:7" x14ac:dyDescent="0.25">
      <c r="B7" s="20"/>
      <c r="C7" s="16"/>
      <c r="D7" s="23" t="s">
        <v>24</v>
      </c>
      <c r="E7" s="16"/>
    </row>
    <row r="8" spans="2:7" x14ac:dyDescent="0.25">
      <c r="C8" s="24"/>
      <c r="D8" s="23" t="s">
        <v>8</v>
      </c>
      <c r="E8" s="16"/>
    </row>
    <row r="9" spans="2:7" ht="15.75" x14ac:dyDescent="0.25">
      <c r="B9" s="32" t="s">
        <v>7</v>
      </c>
      <c r="C9" s="33" t="s">
        <v>16</v>
      </c>
      <c r="D9" s="33" t="s">
        <v>17</v>
      </c>
      <c r="E9" s="34" t="s">
        <v>48</v>
      </c>
      <c r="F9" s="33" t="s">
        <v>18</v>
      </c>
    </row>
    <row r="10" spans="2:7" ht="15.75" x14ac:dyDescent="0.25">
      <c r="B10" s="35" t="s">
        <v>41</v>
      </c>
      <c r="C10" s="37">
        <v>58</v>
      </c>
      <c r="D10" s="37">
        <v>1</v>
      </c>
      <c r="E10" s="37">
        <v>58</v>
      </c>
      <c r="F10" s="36"/>
    </row>
    <row r="11" spans="2:7" ht="15.75" x14ac:dyDescent="0.25">
      <c r="B11" s="35"/>
      <c r="C11" s="37">
        <v>23</v>
      </c>
      <c r="D11" s="37">
        <v>5</v>
      </c>
      <c r="E11" s="37">
        <v>115</v>
      </c>
      <c r="F11" s="36"/>
    </row>
    <row r="12" spans="2:7" ht="15.75" x14ac:dyDescent="0.25">
      <c r="B12" s="38" t="s">
        <v>42</v>
      </c>
      <c r="C12" s="39"/>
      <c r="D12" s="39"/>
      <c r="E12" s="39"/>
      <c r="F12" s="40"/>
    </row>
    <row r="13" spans="2:7" ht="15.75" x14ac:dyDescent="0.25">
      <c r="B13" s="38"/>
      <c r="C13" s="39">
        <v>45</v>
      </c>
      <c r="D13" s="39">
        <v>3</v>
      </c>
      <c r="E13" s="39">
        <v>135</v>
      </c>
      <c r="F13" s="40"/>
    </row>
    <row r="14" spans="2:7" ht="15.75" x14ac:dyDescent="0.25">
      <c r="B14" s="38" t="s">
        <v>43</v>
      </c>
      <c r="C14" s="39">
        <v>57</v>
      </c>
      <c r="D14" s="39">
        <v>3</v>
      </c>
      <c r="E14" s="39">
        <v>171</v>
      </c>
      <c r="F14" s="40"/>
    </row>
    <row r="15" spans="2:7" ht="15.75" x14ac:dyDescent="0.25">
      <c r="B15" s="41" t="s">
        <v>44</v>
      </c>
      <c r="C15" s="42">
        <v>45</v>
      </c>
      <c r="D15" s="42">
        <v>1</v>
      </c>
      <c r="E15" s="42">
        <v>45</v>
      </c>
      <c r="F15" s="43"/>
    </row>
    <row r="16" spans="2:7" ht="15.75" x14ac:dyDescent="0.25">
      <c r="B16" s="38" t="s">
        <v>52</v>
      </c>
      <c r="C16" s="39">
        <v>2</v>
      </c>
      <c r="D16" s="39">
        <v>34</v>
      </c>
      <c r="E16" s="39">
        <v>68</v>
      </c>
      <c r="F16" s="40"/>
    </row>
    <row r="17" spans="2:6" ht="15.75" x14ac:dyDescent="0.25">
      <c r="B17" s="38" t="s">
        <v>53</v>
      </c>
      <c r="C17" s="39">
        <v>2</v>
      </c>
      <c r="D17" s="39">
        <v>3</v>
      </c>
      <c r="E17" s="39">
        <f>Tabla6[[#This Row],['# DE PIEZAS]]*Tabla6[[#This Row],[LONGITUD]]</f>
        <v>6</v>
      </c>
      <c r="F17" s="40"/>
    </row>
    <row r="18" spans="2:6" ht="15.75" x14ac:dyDescent="0.25">
      <c r="B18" s="38" t="s">
        <v>54</v>
      </c>
      <c r="C18" s="39">
        <v>45</v>
      </c>
      <c r="D18" s="39">
        <v>1</v>
      </c>
      <c r="E18" s="39">
        <f>ROUND(D18*C18,2)</f>
        <v>45</v>
      </c>
      <c r="F18" s="40"/>
    </row>
    <row r="19" spans="2:6" ht="15.75" x14ac:dyDescent="0.25">
      <c r="B19" s="38" t="s">
        <v>55</v>
      </c>
      <c r="C19" s="39">
        <v>23</v>
      </c>
      <c r="D19" s="39">
        <v>1</v>
      </c>
      <c r="E19" s="39">
        <f>ROUND(D19*C19,2)</f>
        <v>23</v>
      </c>
      <c r="F19" s="40"/>
    </row>
    <row r="20" spans="2:6" ht="15.75" x14ac:dyDescent="0.25">
      <c r="B20" s="38" t="s">
        <v>56</v>
      </c>
      <c r="C20" s="39">
        <v>45</v>
      </c>
      <c r="D20" s="39">
        <v>1</v>
      </c>
      <c r="E20" s="39">
        <f>Tabla6[[#This Row],['# DE PIEZAS]]*Tabla6[[#This Row],[LONGITUD]]</f>
        <v>45</v>
      </c>
      <c r="F20" s="40"/>
    </row>
    <row r="21" spans="2:6" x14ac:dyDescent="0.25">
      <c r="B21" s="4"/>
    </row>
  </sheetData>
  <pageMargins left="0.7" right="0.3" top="0.75" bottom="0.75" header="0.3" footer="0.3"/>
  <pageSetup paperSize="9" scale="70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209550</xdr:rowOff>
              </from>
              <to>
                <xdr:col>1</xdr:col>
                <xdr:colOff>1571625</xdr:colOff>
                <xdr:row>0</xdr:row>
                <xdr:rowOff>552450</xdr:rowOff>
              </to>
            </anchor>
          </controlPr>
        </control>
      </mc:Choice>
      <mc:Fallback>
        <control shapeId="3080" r:id="rId4" name="CommandButton1"/>
      </mc:Fallback>
    </mc:AlternateContent>
    <mc:AlternateContent xmlns:mc="http://schemas.openxmlformats.org/markup-compatibility/2006">
      <mc:Choice Requires="x14">
        <control shapeId="3082" r:id="rId6" name="CmdAsistente">
          <controlPr defaultSize="0" autoLine="0" r:id="rId7">
            <anchor moveWithCells="1">
              <from>
                <xdr:col>1</xdr:col>
                <xdr:colOff>1628775</xdr:colOff>
                <xdr:row>0</xdr:row>
                <xdr:rowOff>209550</xdr:rowOff>
              </from>
              <to>
                <xdr:col>1</xdr:col>
                <xdr:colOff>3114675</xdr:colOff>
                <xdr:row>0</xdr:row>
                <xdr:rowOff>552450</xdr:rowOff>
              </to>
            </anchor>
          </controlPr>
        </control>
      </mc:Choice>
      <mc:Fallback>
        <control shapeId="3082" r:id="rId6" name="CmdAsistente"/>
      </mc:Fallback>
    </mc:AlternateContent>
    <mc:AlternateContent xmlns:mc="http://schemas.openxmlformats.org/markup-compatibility/2006">
      <mc:Choice Requires="x14">
        <control shapeId="3084" r:id="rId8" name="CmdDetalle">
          <controlPr defaultSize="0" autoLine="0" r:id="rId9">
            <anchor moveWithCells="1">
              <from>
                <xdr:col>1</xdr:col>
                <xdr:colOff>3190875</xdr:colOff>
                <xdr:row>0</xdr:row>
                <xdr:rowOff>209550</xdr:rowOff>
              </from>
              <to>
                <xdr:col>3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3084" r:id="rId8" name="CmdDetalle"/>
      </mc:Fallback>
    </mc:AlternateContent>
    <mc:AlternateContent xmlns:mc="http://schemas.openxmlformats.org/markup-compatibility/2006">
      <mc:Choice Requires="x14">
        <control shapeId="3088" r:id="rId10" name="CommandButton2">
          <controlPr defaultSize="0" autoLine="0" r:id="rId11">
            <anchor moveWithCells="1">
              <from>
                <xdr:col>5</xdr:col>
                <xdr:colOff>219075</xdr:colOff>
                <xdr:row>0</xdr:row>
                <xdr:rowOff>190500</xdr:rowOff>
              </from>
              <to>
                <xdr:col>6</xdr:col>
                <xdr:colOff>714375</xdr:colOff>
                <xdr:row>0</xdr:row>
                <xdr:rowOff>533400</xdr:rowOff>
              </to>
            </anchor>
          </controlPr>
        </control>
      </mc:Choice>
      <mc:Fallback>
        <control shapeId="3088" r:id="rId10" name="CommandButton2"/>
      </mc:Fallback>
    </mc:AlternateContent>
    <mc:AlternateContent xmlns:mc="http://schemas.openxmlformats.org/markup-compatibility/2006">
      <mc:Choice Requires="x14">
        <control shapeId="3086" r:id="rId12" name="Group Box 14">
          <controlPr defaultSize="0" autoFill="0" autoPict="0">
            <anchor moveWithCells="1">
              <from>
                <xdr:col>0</xdr:col>
                <xdr:colOff>285750</xdr:colOff>
                <xdr:row>0</xdr:row>
                <xdr:rowOff>57150</xdr:rowOff>
              </from>
              <to>
                <xdr:col>7</xdr:col>
                <xdr:colOff>9525</xdr:colOff>
                <xdr:row>0</xdr:row>
                <xdr:rowOff>752475</xdr:rowOff>
              </to>
            </anchor>
          </controlPr>
        </control>
      </mc:Choice>
    </mc:AlternateContent>
  </controls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K19"/>
  <sheetViews>
    <sheetView showGridLines="0" tabSelected="1" view="pageBreakPreview" zoomScaleNormal="100" zoomScaleSheetLayoutView="100" workbookViewId="0">
      <pane ySplit="9" topLeftCell="A10" activePane="bottomLeft" state="frozen"/>
      <selection pane="bottomLeft" activeCell="J10" sqref="J10"/>
    </sheetView>
  </sheetViews>
  <sheetFormatPr baseColWidth="10" defaultRowHeight="15" x14ac:dyDescent="0.25"/>
  <cols>
    <col min="1" max="1" width="4.42578125" customWidth="1"/>
    <col min="2" max="2" width="35.42578125" customWidth="1"/>
    <col min="3" max="3" width="7.7109375" customWidth="1"/>
    <col min="4" max="4" width="12.5703125" customWidth="1"/>
    <col min="5" max="5" width="11.7109375" customWidth="1"/>
    <col min="6" max="6" width="15.5703125" customWidth="1"/>
    <col min="7" max="7" width="13.140625" customWidth="1"/>
    <col min="8" max="8" width="11.5703125" customWidth="1"/>
    <col min="9" max="9" width="13.5703125" customWidth="1"/>
    <col min="10" max="10" width="13.28515625" customWidth="1"/>
  </cols>
  <sheetData>
    <row r="1" spans="2:11" ht="63" customHeight="1" x14ac:dyDescent="0.25">
      <c r="B1" s="4"/>
      <c r="C1" s="4"/>
    </row>
    <row r="2" spans="2:11" ht="18.75" x14ac:dyDescent="0.3">
      <c r="B2" s="21" t="s">
        <v>19</v>
      </c>
      <c r="C2" s="21"/>
      <c r="D2" s="21"/>
      <c r="E2" s="21"/>
      <c r="F2" s="21"/>
      <c r="G2" s="21"/>
      <c r="H2" s="21"/>
      <c r="I2" s="21"/>
      <c r="J2" s="21"/>
    </row>
    <row r="3" spans="2:11" ht="19.5" hidden="1" thickBot="1" x14ac:dyDescent="0.35">
      <c r="B3" s="17"/>
      <c r="C3" s="18"/>
      <c r="D3" s="18"/>
      <c r="E3" s="18"/>
      <c r="F3" s="18"/>
      <c r="G3" s="18"/>
      <c r="H3" s="18"/>
      <c r="I3" s="18"/>
      <c r="J3" s="19"/>
    </row>
    <row r="4" spans="2:11" hidden="1" x14ac:dyDescent="0.25">
      <c r="B4" s="20"/>
      <c r="C4" s="20"/>
      <c r="D4" s="46"/>
      <c r="E4" s="48"/>
      <c r="F4" s="49"/>
      <c r="G4" s="50" t="s">
        <v>22</v>
      </c>
      <c r="H4" s="52"/>
      <c r="I4" s="44"/>
    </row>
    <row r="5" spans="2:11" hidden="1" x14ac:dyDescent="0.25">
      <c r="B5" s="20"/>
      <c r="C5" s="20"/>
      <c r="D5" s="47"/>
      <c r="E5" s="24"/>
      <c r="F5" s="51"/>
      <c r="G5" s="23" t="s">
        <v>23</v>
      </c>
      <c r="H5" s="23"/>
      <c r="I5" s="45"/>
    </row>
    <row r="6" spans="2:11" hidden="1" x14ac:dyDescent="0.25">
      <c r="B6" s="20"/>
      <c r="C6" s="20"/>
      <c r="D6" s="47"/>
      <c r="E6" s="24"/>
      <c r="F6" s="51"/>
      <c r="G6" s="23" t="s">
        <v>24</v>
      </c>
      <c r="H6" s="23"/>
      <c r="I6" s="45"/>
    </row>
    <row r="7" spans="2:11" hidden="1" x14ac:dyDescent="0.25">
      <c r="B7" s="20"/>
      <c r="C7" s="20"/>
      <c r="D7" s="47"/>
      <c r="E7" s="24"/>
      <c r="F7" s="51"/>
      <c r="G7" s="23" t="s">
        <v>24</v>
      </c>
      <c r="H7" s="23"/>
      <c r="I7" s="45"/>
    </row>
    <row r="8" spans="2:11" hidden="1" x14ac:dyDescent="0.25">
      <c r="D8" s="47"/>
      <c r="E8" s="24"/>
      <c r="F8" s="51"/>
      <c r="G8" s="23" t="s">
        <v>8</v>
      </c>
      <c r="H8" s="23"/>
      <c r="I8" s="69">
        <f>SUM(I10:I18)</f>
        <v>64.507300918301269</v>
      </c>
    </row>
    <row r="9" spans="2:11" ht="33" customHeight="1" x14ac:dyDescent="0.25">
      <c r="B9" s="53" t="s">
        <v>7</v>
      </c>
      <c r="C9" s="53" t="s">
        <v>47</v>
      </c>
      <c r="D9" s="56" t="s">
        <v>51</v>
      </c>
      <c r="E9" s="56" t="s">
        <v>57</v>
      </c>
      <c r="F9" s="57" t="s">
        <v>50</v>
      </c>
      <c r="G9" s="56" t="s">
        <v>45</v>
      </c>
      <c r="H9" s="56" t="s">
        <v>17</v>
      </c>
      <c r="I9" s="55" t="s">
        <v>49</v>
      </c>
      <c r="J9" s="54" t="s">
        <v>46</v>
      </c>
    </row>
    <row r="10" spans="2:11" ht="22.5" customHeight="1" x14ac:dyDescent="0.25">
      <c r="B10" s="58" t="s">
        <v>61</v>
      </c>
      <c r="C10" s="59">
        <v>0</v>
      </c>
      <c r="D10" s="60">
        <v>5</v>
      </c>
      <c r="E10" s="60">
        <v>2.4500000000000002</v>
      </c>
      <c r="F10" s="60">
        <v>0</v>
      </c>
      <c r="G10" s="61">
        <v>0</v>
      </c>
      <c r="H10" s="68">
        <v>1</v>
      </c>
      <c r="I10" s="68">
        <f>D10*E10*H10</f>
        <v>12.25</v>
      </c>
      <c r="J10" s="62"/>
      <c r="K10" t="s">
        <v>60</v>
      </c>
    </row>
    <row r="11" spans="2:11" ht="22.5" customHeight="1" x14ac:dyDescent="0.25">
      <c r="B11" s="58" t="s">
        <v>66</v>
      </c>
      <c r="C11" s="59">
        <v>0</v>
      </c>
      <c r="D11" s="60">
        <v>1</v>
      </c>
      <c r="E11" s="60">
        <v>0.5</v>
      </c>
      <c r="F11" s="60">
        <v>0</v>
      </c>
      <c r="G11" s="61">
        <v>0</v>
      </c>
      <c r="H11" s="68">
        <v>-1</v>
      </c>
      <c r="I11" s="68">
        <f>D11*E11*H11</f>
        <v>-0.5</v>
      </c>
      <c r="J11" s="62"/>
    </row>
    <row r="12" spans="2:11" ht="22.5" customHeight="1" x14ac:dyDescent="0.25">
      <c r="B12" s="58" t="s">
        <v>65</v>
      </c>
      <c r="C12" s="59">
        <v>0</v>
      </c>
      <c r="D12" s="60">
        <v>1</v>
      </c>
      <c r="E12" s="60">
        <v>2.1</v>
      </c>
      <c r="F12" s="60">
        <v>0</v>
      </c>
      <c r="G12" s="61">
        <v>0</v>
      </c>
      <c r="H12" s="68">
        <v>-1</v>
      </c>
      <c r="I12" s="68">
        <f>D12*E12*H12</f>
        <v>-2.1</v>
      </c>
      <c r="J12" s="62"/>
    </row>
    <row r="13" spans="2:11" ht="22.5" customHeight="1" x14ac:dyDescent="0.25">
      <c r="B13" s="58" t="s">
        <v>59</v>
      </c>
      <c r="C13" s="59">
        <v>0</v>
      </c>
      <c r="D13" s="60">
        <v>5</v>
      </c>
      <c r="E13" s="60">
        <v>3</v>
      </c>
      <c r="F13" s="60">
        <v>0</v>
      </c>
      <c r="G13" s="61">
        <v>0</v>
      </c>
      <c r="H13" s="68">
        <v>1</v>
      </c>
      <c r="I13" s="68">
        <f>D13*E13*H13</f>
        <v>15</v>
      </c>
      <c r="J13" s="62"/>
    </row>
    <row r="14" spans="2:11" ht="22.5" customHeight="1" x14ac:dyDescent="0.25">
      <c r="B14" s="58" t="s">
        <v>62</v>
      </c>
      <c r="C14" s="59">
        <v>1</v>
      </c>
      <c r="D14" s="60">
        <v>5</v>
      </c>
      <c r="E14" s="60">
        <v>3</v>
      </c>
      <c r="F14" s="60">
        <v>3.5</v>
      </c>
      <c r="G14" s="61">
        <v>0</v>
      </c>
      <c r="H14" s="68">
        <v>1</v>
      </c>
      <c r="I14" s="68">
        <f>H14*D14*((E14+F14)/2)</f>
        <v>16.25</v>
      </c>
      <c r="J14" s="62"/>
    </row>
    <row r="15" spans="2:11" ht="22.5" customHeight="1" x14ac:dyDescent="0.25">
      <c r="B15" s="58" t="s">
        <v>63</v>
      </c>
      <c r="C15" s="59">
        <v>4</v>
      </c>
      <c r="D15" s="60">
        <v>0</v>
      </c>
      <c r="E15" s="60">
        <v>0</v>
      </c>
      <c r="F15" s="60">
        <v>0</v>
      </c>
      <c r="G15" s="61">
        <v>0.5</v>
      </c>
      <c r="H15" s="68">
        <v>-1</v>
      </c>
      <c r="I15" s="68">
        <f>PI()*H15*G15^2/2</f>
        <v>-0.39269908169872414</v>
      </c>
      <c r="J15" s="62"/>
    </row>
    <row r="16" spans="2:11" ht="22.5" customHeight="1" x14ac:dyDescent="0.25">
      <c r="B16" s="58" t="s">
        <v>64</v>
      </c>
      <c r="C16" s="59"/>
      <c r="D16" s="60"/>
      <c r="E16" s="60"/>
      <c r="F16" s="60" t="s">
        <v>58</v>
      </c>
      <c r="G16" s="61">
        <v>24</v>
      </c>
      <c r="H16" s="68">
        <v>1</v>
      </c>
      <c r="I16" s="68">
        <f>H16*G16</f>
        <v>24</v>
      </c>
      <c r="J16" s="62"/>
    </row>
    <row r="17" spans="2:10" ht="22.5" customHeight="1" x14ac:dyDescent="0.25">
      <c r="B17" s="58"/>
      <c r="C17" s="59"/>
      <c r="D17" s="60"/>
      <c r="E17" s="60"/>
      <c r="F17" s="60"/>
      <c r="G17" s="61"/>
      <c r="H17" s="68"/>
      <c r="I17" s="68"/>
      <c r="J17" s="62"/>
    </row>
    <row r="18" spans="2:10" ht="22.5" customHeight="1" x14ac:dyDescent="0.25">
      <c r="B18" s="58"/>
      <c r="C18" s="59"/>
      <c r="D18" s="60"/>
      <c r="E18" s="60"/>
      <c r="F18" s="60"/>
      <c r="G18" s="61"/>
      <c r="H18" s="68"/>
      <c r="I18" s="61"/>
      <c r="J18" s="62"/>
    </row>
    <row r="19" spans="2:10" ht="22.5" customHeight="1" x14ac:dyDescent="0.25">
      <c r="B19" s="63"/>
      <c r="C19" s="64"/>
      <c r="D19" s="65"/>
      <c r="E19" s="65"/>
      <c r="F19" s="65"/>
      <c r="G19" s="66"/>
      <c r="H19" s="66"/>
      <c r="I19" s="66"/>
      <c r="J19" s="67"/>
    </row>
  </sheetData>
  <autoFilter ref="B9:J18"/>
  <conditionalFormatting sqref="C10:C19">
    <cfRule type="iconSet" priority="86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3" top="0.75" bottom="0.75" header="0.3" footer="0.3"/>
  <pageSetup paperSize="9" scale="70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209550</xdr:rowOff>
              </from>
              <to>
                <xdr:col>1</xdr:col>
                <xdr:colOff>1571625</xdr:colOff>
                <xdr:row>0</xdr:row>
                <xdr:rowOff>552450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mdAsistente">
          <controlPr defaultSize="0" autoLine="0" r:id="rId7">
            <anchor moveWithCells="1">
              <from>
                <xdr:col>1</xdr:col>
                <xdr:colOff>1628775</xdr:colOff>
                <xdr:row>0</xdr:row>
                <xdr:rowOff>209550</xdr:rowOff>
              </from>
              <to>
                <xdr:col>3</xdr:col>
                <xdr:colOff>238125</xdr:colOff>
                <xdr:row>0</xdr:row>
                <xdr:rowOff>552450</xdr:rowOff>
              </to>
            </anchor>
          </controlPr>
        </control>
      </mc:Choice>
      <mc:Fallback>
        <control shapeId="4098" r:id="rId6" name="CmdAsistente"/>
      </mc:Fallback>
    </mc:AlternateContent>
    <mc:AlternateContent xmlns:mc="http://schemas.openxmlformats.org/markup-compatibility/2006">
      <mc:Choice Requires="x14">
        <control shapeId="4099" r:id="rId8" name="CmdDetalle">
          <controlPr defaultSize="0" autoLine="0" r:id="rId9">
            <anchor moveWithCells="1">
              <from>
                <xdr:col>4</xdr:col>
                <xdr:colOff>0</xdr:colOff>
                <xdr:row>0</xdr:row>
                <xdr:rowOff>209550</xdr:rowOff>
              </from>
              <to>
                <xdr:col>5</xdr:col>
                <xdr:colOff>628650</xdr:colOff>
                <xdr:row>0</xdr:row>
                <xdr:rowOff>542925</xdr:rowOff>
              </to>
            </anchor>
          </controlPr>
        </control>
      </mc:Choice>
      <mc:Fallback>
        <control shapeId="4099" r:id="rId8" name="CmdDetalle"/>
      </mc:Fallback>
    </mc:AlternateContent>
    <mc:AlternateContent xmlns:mc="http://schemas.openxmlformats.org/markup-compatibility/2006">
      <mc:Choice Requires="x14">
        <control shapeId="4101" r:id="rId10" name="CommandButton2">
          <controlPr defaultSize="0" autoLine="0" r:id="rId11">
            <anchor moveWithCells="1">
              <from>
                <xdr:col>6</xdr:col>
                <xdr:colOff>219075</xdr:colOff>
                <xdr:row>0</xdr:row>
                <xdr:rowOff>190500</xdr:rowOff>
              </from>
              <to>
                <xdr:col>8</xdr:col>
                <xdr:colOff>57150</xdr:colOff>
                <xdr:row>0</xdr:row>
                <xdr:rowOff>533400</xdr:rowOff>
              </to>
            </anchor>
          </controlPr>
        </control>
      </mc:Choice>
      <mc:Fallback>
        <control shapeId="4101" r:id="rId10" name="CommandButton2"/>
      </mc:Fallback>
    </mc:AlternateContent>
    <mc:AlternateContent xmlns:mc="http://schemas.openxmlformats.org/markup-compatibility/2006">
      <mc:Choice Requires="x14">
        <control shapeId="4100" r:id="rId12" name="Group Box 4">
          <controlPr defaultSize="0" autoFill="0" autoPict="0">
            <anchor moveWithCells="1">
              <from>
                <xdr:col>0</xdr:col>
                <xdr:colOff>285750</xdr:colOff>
                <xdr:row>0</xdr:row>
                <xdr:rowOff>57150</xdr:rowOff>
              </from>
              <to>
                <xdr:col>12</xdr:col>
                <xdr:colOff>371475</xdr:colOff>
                <xdr:row>0</xdr:row>
                <xdr:rowOff>752475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E89211C7-2E09-4E42-9CF0-FBB1C6CF6E7F}">
            <x14:iconSet iconSet="5ArrowsGray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5Boxes" iconId="4"/>
              <x14:cfIcon iconSet="5Rating" iconId="4"/>
              <x14:cfIcon iconSet="3Triangles" iconId="2"/>
              <x14:cfIcon iconSet="4RedToBlack" iconId="0"/>
              <x14:cfIcon iconSet="5Quarters" iconId="2"/>
            </x14:iconSet>
          </x14:cfRule>
          <xm:sqref>C1:C1048576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DATOS</vt:lpstr>
      <vt:lpstr>PRESUPUESTO</vt:lpstr>
      <vt:lpstr>ANEXO ML</vt:lpstr>
      <vt:lpstr>ANEXO M2</vt:lpstr>
      <vt:lpstr>'ANEXO M2'!Área_de_impresión</vt:lpstr>
      <vt:lpstr>'ANEXO ML'!Área_de_impresión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JOSELO</cp:lastModifiedBy>
  <cp:lastPrinted>2017-09-02T03:08:13Z</cp:lastPrinted>
  <dcterms:created xsi:type="dcterms:W3CDTF">2017-08-21T01:00:40Z</dcterms:created>
  <dcterms:modified xsi:type="dcterms:W3CDTF">2017-09-07T04:54:22Z</dcterms:modified>
</cp:coreProperties>
</file>